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shema Poojary DA\Enterprise Data Quality &amp; Governance Dashboard\"/>
    </mc:Choice>
  </mc:AlternateContent>
  <xr:revisionPtr revIDLastSave="0" documentId="13_ncr:1_{8D8C03C2-83F3-4FC6-971C-F2F41B3A0A8D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Customer_Data" sheetId="1" r:id="rId1"/>
    <sheet name="Product_Data" sheetId="2" r:id="rId2"/>
    <sheet name="Employee_Data" sheetId="3" r:id="rId3"/>
    <sheet name="Sales_Data" sheetId="4" r:id="rId4"/>
  </sheets>
  <definedNames>
    <definedName name="_xlnm._FilterDatabase" localSheetId="0" hidden="1">Customer_Data!$A$1:$I$26</definedName>
    <definedName name="_xlnm._FilterDatabase" localSheetId="2" hidden="1">Employee_Data!$A$1:$I$16</definedName>
    <definedName name="_xlnm._FilterDatabase" localSheetId="1" hidden="1">Product_Data!$A$1:$I$21</definedName>
    <definedName name="_xlnm._FilterDatabase" localSheetId="3" hidden="1">Sales_Data!$A$1:$K$21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1" i="4" l="1"/>
  <c r="G20" i="4"/>
  <c r="G19" i="4"/>
  <c r="G18" i="4"/>
  <c r="G16" i="4"/>
  <c r="G15" i="4"/>
  <c r="G14" i="4"/>
  <c r="G13" i="4"/>
  <c r="G12" i="4"/>
  <c r="G11" i="4"/>
  <c r="G10" i="4"/>
  <c r="G9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<sst xmlns="http://schemas.openxmlformats.org/spreadsheetml/2006/main" count="702" uniqueCount="350">
  <si>
    <t>Customer_ID</t>
  </si>
  <si>
    <t>Name</t>
  </si>
  <si>
    <t>Email</t>
  </si>
  <si>
    <t>Phone</t>
  </si>
  <si>
    <t>Region</t>
  </si>
  <si>
    <t>Join_Date</t>
  </si>
  <si>
    <t>Status</t>
  </si>
  <si>
    <t>Validation_Status</t>
  </si>
  <si>
    <t>Issue_Flag</t>
  </si>
  <si>
    <t>C001</t>
  </si>
  <si>
    <t>Ahmed Al Rashid</t>
  </si>
  <si>
    <t>ahmed.rashid@gmail.com</t>
  </si>
  <si>
    <t>0501234567</t>
  </si>
  <si>
    <t>Dubai</t>
  </si>
  <si>
    <t>2023-01-15</t>
  </si>
  <si>
    <t>Active</t>
  </si>
  <si>
    <t>Valid</t>
  </si>
  <si>
    <t>None</t>
  </si>
  <si>
    <t>C002</t>
  </si>
  <si>
    <t>Sara Johnson</t>
  </si>
  <si>
    <t>sara.johnsonATgmail.com</t>
  </si>
  <si>
    <t>0509876</t>
  </si>
  <si>
    <t>Abu Dhabi</t>
  </si>
  <si>
    <t>2023-02-20</t>
  </si>
  <si>
    <t>Invalid</t>
  </si>
  <si>
    <t>Invalid Email</t>
  </si>
  <si>
    <t>C003</t>
  </si>
  <si>
    <t>Mohammed Khan</t>
  </si>
  <si>
    <t>mohammed.khan@outlook.com</t>
  </si>
  <si>
    <t>2023-03-10</t>
  </si>
  <si>
    <t>Missing Phone</t>
  </si>
  <si>
    <t>C004</t>
  </si>
  <si>
    <t>Priya Sharma</t>
  </si>
  <si>
    <t>priya.sharma@yahoo.com</t>
  </si>
  <si>
    <t>0551122334</t>
  </si>
  <si>
    <t>Sharjah</t>
  </si>
  <si>
    <t>2023-03-25</t>
  </si>
  <si>
    <t>C005</t>
  </si>
  <si>
    <t>Duplicate</t>
  </si>
  <si>
    <t>Duplicate Record</t>
  </si>
  <si>
    <t>C006</t>
  </si>
  <si>
    <t>Lisa Chen</t>
  </si>
  <si>
    <t>lisa.chen@company.com</t>
  </si>
  <si>
    <t>055</t>
  </si>
  <si>
    <t>Ajman</t>
  </si>
  <si>
    <t>2023-04-05</t>
  </si>
  <si>
    <t>Short Phone</t>
  </si>
  <si>
    <t>C007</t>
  </si>
  <si>
    <t>contact@domain.com</t>
  </si>
  <si>
    <t>0561234567</t>
  </si>
  <si>
    <t>2023-04-12</t>
  </si>
  <si>
    <t>Missing Name</t>
  </si>
  <si>
    <t>C008</t>
  </si>
  <si>
    <t>Omar Abdullah</t>
  </si>
  <si>
    <t>omar.abdullah@hotmail.com</t>
  </si>
  <si>
    <t>0571234567</t>
  </si>
  <si>
    <t>2023-05-01</t>
  </si>
  <si>
    <t>Inactive</t>
  </si>
  <si>
    <t>C009</t>
  </si>
  <si>
    <t>Fatima Al Zaabi</t>
  </si>
  <si>
    <t>fatima.alzaabi@gmail.com</t>
  </si>
  <si>
    <t>0581234567</t>
  </si>
  <si>
    <t>2023-05-15</t>
  </si>
  <si>
    <t>C010</t>
  </si>
  <si>
    <t>Raj Patel</t>
  </si>
  <si>
    <t>raj.patel@email</t>
  </si>
  <si>
    <t>0591234567</t>
  </si>
  <si>
    <t>2023-06-01</t>
  </si>
  <si>
    <t>C011</t>
  </si>
  <si>
    <t>Hana Park</t>
  </si>
  <si>
    <t>hana.park@gmail.com</t>
  </si>
  <si>
    <t>0601234567</t>
  </si>
  <si>
    <t>2023-06-10</t>
  </si>
  <si>
    <t>C012</t>
  </si>
  <si>
    <t>Khalid Mansouri</t>
  </si>
  <si>
    <t>0611234567</t>
  </si>
  <si>
    <t>2023-06-20</t>
  </si>
  <si>
    <t>Missing Email</t>
  </si>
  <si>
    <t>C013</t>
  </si>
  <si>
    <t>Emma Wilson</t>
  </si>
  <si>
    <t>emma.wilson@corp.com</t>
  </si>
  <si>
    <t>0621234567</t>
  </si>
  <si>
    <t>Fujairah</t>
  </si>
  <si>
    <t>2023-07-01</t>
  </si>
  <si>
    <t>C014</t>
  </si>
  <si>
    <t>Yusuf Osei</t>
  </si>
  <si>
    <t>yusuf.osei@gmail.com</t>
  </si>
  <si>
    <t>062</t>
  </si>
  <si>
    <t>Ras Al Khaimah</t>
  </si>
  <si>
    <t>2023-07-15</t>
  </si>
  <si>
    <t>C015</t>
  </si>
  <si>
    <t>Maria Santos</t>
  </si>
  <si>
    <t>maria.santos@gmail.com</t>
  </si>
  <si>
    <t>0641234567</t>
  </si>
  <si>
    <t>2023-07-20</t>
  </si>
  <si>
    <t>C016</t>
  </si>
  <si>
    <t>Ali Hassan</t>
  </si>
  <si>
    <t>2023-08-01</t>
  </si>
  <si>
    <t>Missing Email &amp; Phone</t>
  </si>
  <si>
    <t>C017</t>
  </si>
  <si>
    <t>Nour Khalil</t>
  </si>
  <si>
    <t>nour.khalil@gmail.com</t>
  </si>
  <si>
    <t>0661234567</t>
  </si>
  <si>
    <t>2023-08-10</t>
  </si>
  <si>
    <t>C018</t>
  </si>
  <si>
    <t>James Okafor</t>
  </si>
  <si>
    <t>james.okafor@gmail.com</t>
  </si>
  <si>
    <t>2023-08-15</t>
  </si>
  <si>
    <t>Duplicate Phone</t>
  </si>
  <si>
    <t>C019</t>
  </si>
  <si>
    <t>Aya Tanaka</t>
  </si>
  <si>
    <t>aya.tanaka@yahoo.com</t>
  </si>
  <si>
    <t>0681234567</t>
  </si>
  <si>
    <t>2023-09-01</t>
  </si>
  <si>
    <t>C020</t>
  </si>
  <si>
    <t>Bilal Ahmed</t>
  </si>
  <si>
    <t>bilal.ahmed@outlook.com</t>
  </si>
  <si>
    <t>0691234567</t>
  </si>
  <si>
    <t>2023-09-10</t>
  </si>
  <si>
    <t>C021</t>
  </si>
  <si>
    <t>Sana Mirza</t>
  </si>
  <si>
    <t>sana.mirzagmail.com</t>
  </si>
  <si>
    <t>0701234567</t>
  </si>
  <si>
    <t>2023-09-20</t>
  </si>
  <si>
    <t>C022</t>
  </si>
  <si>
    <t>Carlos Rivera</t>
  </si>
  <si>
    <t>carlos.rivera@gmail.com</t>
  </si>
  <si>
    <t>0711234567</t>
  </si>
  <si>
    <t>2023-10-01</t>
  </si>
  <si>
    <t>C023</t>
  </si>
  <si>
    <t>Leila Nasser</t>
  </si>
  <si>
    <t>2023-10-10</t>
  </si>
  <si>
    <t>C024</t>
  </si>
  <si>
    <t>Ravi Kumar</t>
  </si>
  <si>
    <t>ravi.kumar@gmail.com</t>
  </si>
  <si>
    <t>0731234567</t>
  </si>
  <si>
    <t>2023-10-15</t>
  </si>
  <si>
    <t>C025</t>
  </si>
  <si>
    <t>Dana Al Farsi</t>
  </si>
  <si>
    <t>dana.alfarsi@company.com</t>
  </si>
  <si>
    <t>0741234567</t>
  </si>
  <si>
    <t>2023-10-20</t>
  </si>
  <si>
    <t>Product_ID</t>
  </si>
  <si>
    <t>Product_Name</t>
  </si>
  <si>
    <t>Category</t>
  </si>
  <si>
    <t>Sub_Category</t>
  </si>
  <si>
    <t>Owner_Assigned</t>
  </si>
  <si>
    <t>Owner_Dept</t>
  </si>
  <si>
    <t>Classification_Status</t>
  </si>
  <si>
    <t>Metadata_Complete</t>
  </si>
  <si>
    <t>P001</t>
  </si>
  <si>
    <t>Laptop Pro X1</t>
  </si>
  <si>
    <t>Electronics</t>
  </si>
  <si>
    <t>Computers</t>
  </si>
  <si>
    <t>Rania Al Marzouqi</t>
  </si>
  <si>
    <t>IT</t>
  </si>
  <si>
    <t>Classified</t>
  </si>
  <si>
    <t>Yes</t>
  </si>
  <si>
    <t>P002</t>
  </si>
  <si>
    <t>Office Chair Deluxe</t>
  </si>
  <si>
    <t>Furniture</t>
  </si>
  <si>
    <t>Unclassified</t>
  </si>
  <si>
    <t>No</t>
  </si>
  <si>
    <t>Missing Category &amp; Owner</t>
  </si>
  <si>
    <t>P003</t>
  </si>
  <si>
    <t>USB-C Hub 7-Port</t>
  </si>
  <si>
    <t>Accessories</t>
  </si>
  <si>
    <t>Tariq Hassan</t>
  </si>
  <si>
    <t>P004</t>
  </si>
  <si>
    <t>Standing Desk</t>
  </si>
  <si>
    <t>Office</t>
  </si>
  <si>
    <t>Layla Qasim</t>
  </si>
  <si>
    <t>Operations</t>
  </si>
  <si>
    <t>P005</t>
  </si>
  <si>
    <t>Monitor 27inch 4K</t>
  </si>
  <si>
    <t>Faisal Al Nuaimi</t>
  </si>
  <si>
    <t>Partial</t>
  </si>
  <si>
    <t>Missing Sub-Category</t>
  </si>
  <si>
    <t>P006</t>
  </si>
  <si>
    <t>Printer Laser A4</t>
  </si>
  <si>
    <t>Missing Category, Sub-Cat &amp; Owner</t>
  </si>
  <si>
    <t>P007</t>
  </si>
  <si>
    <t>Wireless Mouse</t>
  </si>
  <si>
    <t>P008</t>
  </si>
  <si>
    <t>Conference Phone</t>
  </si>
  <si>
    <t>Communication</t>
  </si>
  <si>
    <t>P009</t>
  </si>
  <si>
    <t>Ergonomic Keyboard</t>
  </si>
  <si>
    <t>P010</t>
  </si>
  <si>
    <t>Whiteboard Magnetic</t>
  </si>
  <si>
    <t>Stationery</t>
  </si>
  <si>
    <t>Office Supplies</t>
  </si>
  <si>
    <t>Mona Al Hashmi</t>
  </si>
  <si>
    <t>Admin</t>
  </si>
  <si>
    <t>P011</t>
  </si>
  <si>
    <t>Server Rack Unit</t>
  </si>
  <si>
    <t>P012</t>
  </si>
  <si>
    <t>Filing Cabinet</t>
  </si>
  <si>
    <t>P013</t>
  </si>
  <si>
    <t>Webcam HD 1080p</t>
  </si>
  <si>
    <t>P014</t>
  </si>
  <si>
    <t>Projector Screen</t>
  </si>
  <si>
    <t>AV Equipment</t>
  </si>
  <si>
    <t>Display</t>
  </si>
  <si>
    <t>Missing Owner</t>
  </si>
  <si>
    <t>P015</t>
  </si>
  <si>
    <t>Desk Lamp LED</t>
  </si>
  <si>
    <t>Lighting</t>
  </si>
  <si>
    <t>P016</t>
  </si>
  <si>
    <t>Network Switch 24P</t>
  </si>
  <si>
    <t>Networking</t>
  </si>
  <si>
    <t>P017</t>
  </si>
  <si>
    <t>Shredder A4</t>
  </si>
  <si>
    <t>Office Equipment</t>
  </si>
  <si>
    <t>P018</t>
  </si>
  <si>
    <t>Headset Noise Cancel</t>
  </si>
  <si>
    <t>P019</t>
  </si>
  <si>
    <t>Smart TV 55inch</t>
  </si>
  <si>
    <t>Missing Sub-Cat &amp; Owner</t>
  </si>
  <si>
    <t>P020</t>
  </si>
  <si>
    <t>Coffee Machine</t>
  </si>
  <si>
    <t>Pantry</t>
  </si>
  <si>
    <t>Employee_ID</t>
  </si>
  <si>
    <t>Full_Name</t>
  </si>
  <si>
    <t>Department</t>
  </si>
  <si>
    <t>Role</t>
  </si>
  <si>
    <t>Manager_Assigned</t>
  </si>
  <si>
    <t>E001</t>
  </si>
  <si>
    <t>Sales</t>
  </si>
  <si>
    <t>Senior Sales Manager</t>
  </si>
  <si>
    <t>Lena Fischer</t>
  </si>
  <si>
    <t>ahmed.alrashid@company.com</t>
  </si>
  <si>
    <t>2019-03-01</t>
  </si>
  <si>
    <t>E002</t>
  </si>
  <si>
    <t>IT Asset Owner</t>
  </si>
  <si>
    <t>rania.almarzouqi@company.com</t>
  </si>
  <si>
    <t>2020-06-15</t>
  </si>
  <si>
    <t>E003</t>
  </si>
  <si>
    <t>Systems Analyst</t>
  </si>
  <si>
    <t>tariq.hassan@company</t>
  </si>
  <si>
    <t>2021-01-10</t>
  </si>
  <si>
    <t>E004</t>
  </si>
  <si>
    <t>IT Manager</t>
  </si>
  <si>
    <t>faisal.alnuaimi@company.com</t>
  </si>
  <si>
    <t>2018-07-01</t>
  </si>
  <si>
    <t>Missing Manager</t>
  </si>
  <si>
    <t>E005</t>
  </si>
  <si>
    <t>Operations Lead</t>
  </si>
  <si>
    <t>Tom Bradley</t>
  </si>
  <si>
    <t>layla.qasim@company.com</t>
  </si>
  <si>
    <t>2020-04-20</t>
  </si>
  <si>
    <t>E006</t>
  </si>
  <si>
    <t>Account Manager</t>
  </si>
  <si>
    <t>carlos.rivera@company.com</t>
  </si>
  <si>
    <t>2021-08-10</t>
  </si>
  <si>
    <t>E007</t>
  </si>
  <si>
    <t>Sales Executive</t>
  </si>
  <si>
    <t>ravi.kumar@company.com</t>
  </si>
  <si>
    <t>2022-01-15</t>
  </si>
  <si>
    <t>E008</t>
  </si>
  <si>
    <t>Sara Al Blooshi</t>
  </si>
  <si>
    <t>HR</t>
  </si>
  <si>
    <t>HR Manager</t>
  </si>
  <si>
    <t>sara.alblooshi@company.com</t>
  </si>
  <si>
    <t>2019-11-01</t>
  </si>
  <si>
    <t>E009</t>
  </si>
  <si>
    <t>Admin Coordinator</t>
  </si>
  <si>
    <t>mona.alhasmi@company.com</t>
  </si>
  <si>
    <t>2021-03-05</t>
  </si>
  <si>
    <t>E010</t>
  </si>
  <si>
    <t>COO</t>
  </si>
  <si>
    <t>tom.bradley@company.com</t>
  </si>
  <si>
    <t>2017-07-01</t>
  </si>
  <si>
    <t>E011</t>
  </si>
  <si>
    <t>Finance</t>
  </si>
  <si>
    <t>CFO</t>
  </si>
  <si>
    <t>lena.fischer@company.com</t>
  </si>
  <si>
    <t>2016-01-10</t>
  </si>
  <si>
    <t>E012</t>
  </si>
  <si>
    <t>Nadia Al Hamdan</t>
  </si>
  <si>
    <t>Senior Analyst</t>
  </si>
  <si>
    <t>nadia.alhamdan@company.com</t>
  </si>
  <si>
    <t>2021-03-01</t>
  </si>
  <si>
    <t>E013</t>
  </si>
  <si>
    <t>Jason Park</t>
  </si>
  <si>
    <t>System Admin</t>
  </si>
  <si>
    <t>jason.park@company.com</t>
  </si>
  <si>
    <t>E014</t>
  </si>
  <si>
    <t>Rohan Mehta</t>
  </si>
  <si>
    <t>Developer</t>
  </si>
  <si>
    <t>rohan.mehta@company</t>
  </si>
  <si>
    <t>2021-09-01</t>
  </si>
  <si>
    <t>E015</t>
  </si>
  <si>
    <t>Wei Zhang</t>
  </si>
  <si>
    <t>Network Engineer</t>
  </si>
  <si>
    <t>wei.zhang@company.com</t>
  </si>
  <si>
    <t>2021-11-15</t>
  </si>
  <si>
    <t>Transaction_ID</t>
  </si>
  <si>
    <t>Sale_Date</t>
  </si>
  <si>
    <t>Quantity</t>
  </si>
  <si>
    <t>Unit_Price_AED</t>
  </si>
  <si>
    <t>Total_AED</t>
  </si>
  <si>
    <t>Sales_Rep</t>
  </si>
  <si>
    <t>T001</t>
  </si>
  <si>
    <t>2024-01-05</t>
  </si>
  <si>
    <t>T002</t>
  </si>
  <si>
    <t>2024-01-08</t>
  </si>
  <si>
    <t>T003</t>
  </si>
  <si>
    <t>C999</t>
  </si>
  <si>
    <t>2024-01-10</t>
  </si>
  <si>
    <t>Unknown Customer ID</t>
  </si>
  <si>
    <t>T004</t>
  </si>
  <si>
    <t>2024-01-12</t>
  </si>
  <si>
    <t>T005</t>
  </si>
  <si>
    <t>P999</t>
  </si>
  <si>
    <t>2024-01-15</t>
  </si>
  <si>
    <t>Unknown Product ID</t>
  </si>
  <si>
    <t>T006</t>
  </si>
  <si>
    <t>2024-01-18</t>
  </si>
  <si>
    <t>T007</t>
  </si>
  <si>
    <t>2024-01-20</t>
  </si>
  <si>
    <t>Missing Total</t>
  </si>
  <si>
    <t>T008</t>
  </si>
  <si>
    <t>2024-01-22</t>
  </si>
  <si>
    <t>T009</t>
  </si>
  <si>
    <t>Duplicate Transaction</t>
  </si>
  <si>
    <t>T010</t>
  </si>
  <si>
    <t>2024-02-01</t>
  </si>
  <si>
    <t>T011</t>
  </si>
  <si>
    <t>2024-02-03</t>
  </si>
  <si>
    <t>T012</t>
  </si>
  <si>
    <t>2024-02-07</t>
  </si>
  <si>
    <t>T013</t>
  </si>
  <si>
    <t>2024-02-10</t>
  </si>
  <si>
    <t>T014</t>
  </si>
  <si>
    <t>2024-02-14</t>
  </si>
  <si>
    <t>T015</t>
  </si>
  <si>
    <t>2024-02-18</t>
  </si>
  <si>
    <t>T016</t>
  </si>
  <si>
    <t>2024-02-20</t>
  </si>
  <si>
    <t>T017</t>
  </si>
  <si>
    <t>2024-03-01</t>
  </si>
  <si>
    <t>T018</t>
  </si>
  <si>
    <t>C888</t>
  </si>
  <si>
    <t>2024-03-05</t>
  </si>
  <si>
    <t>T019</t>
  </si>
  <si>
    <t>2024-03-10</t>
  </si>
  <si>
    <t>T020</t>
  </si>
  <si>
    <t>2024-03-15</t>
  </si>
  <si>
    <t>Invalid Email &amp;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</si>
</sst>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sz val="9"/>
      <color rgb="FF3B6D11"/>
      <name val="Arial"/>
      <charset val="1"/>
    </font>
    <font>
      <sz val="9"/>
      <color rgb="FF854F0B"/>
      <name val="Arial"/>
      <charset val="1"/>
    </font>
    <font>
      <sz val="9"/>
      <color rgb="FFA32D2D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85FA5"/>
      </patternFill>
    </fill>
    <fill>
      <patternFill patternType="solid">
        <fgColor rgb="FFE8F5E9"/>
        <bgColor rgb="FFE3F2FD"/>
      </patternFill>
    </fill>
    <fill>
      <patternFill patternType="solid">
        <fgColor rgb="FFFFF9C4"/>
        <bgColor rgb="FFFFFF99"/>
      </patternFill>
    </fill>
    <fill>
      <patternFill patternType="solid">
        <fgColor rgb="FFFCE4EC"/>
        <bgColor rgb="FFE0E0E0"/>
      </patternFill>
    </fill>
    <fill>
      <patternFill patternType="solid">
        <fgColor rgb="FF0F6E56"/>
        <bgColor rgb="FF008080"/>
      </patternFill>
    </fill>
    <fill>
      <patternFill patternType="solid">
        <fgColor rgb="FF3C3489"/>
        <bgColor rgb="FF1F4E79"/>
      </patternFill>
    </fill>
    <fill>
      <patternFill patternType="solid">
        <fgColor rgb="FFFFFFFF"/>
        <bgColor rgb="FFE8F5E9"/>
      </patternFill>
    </fill>
    <fill>
      <patternFill patternType="solid">
        <fgColor rgb="FF854F0B"/>
        <bgColor rgb="FFA32D2D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165" fontId="1" fillId="7" borderId="1" xfId="0" applyNumberFormat="1" applyFont="1" applyFill="1" applyBorder="1" applyAlignment="1">
      <alignment horizontal="center" vertical="center" wrapText="1"/>
    </xf>
    <xf numFmtId="49" fontId="1" fillId="9" borderId="1" xfId="0" applyNumberFormat="1" applyFont="1" applyFill="1" applyBorder="1" applyAlignment="1">
      <alignment horizontal="center" vertical="center" wrapText="1"/>
    </xf>
    <xf numFmtId="165" fontId="1" fillId="9" borderId="1" xfId="0" applyNumberFormat="1" applyFont="1" applyFill="1" applyBorder="1" applyAlignment="1">
      <alignment horizontal="center" vertical="center" wrapText="1"/>
    </xf>
    <xf numFmtId="1" fontId="1" fillId="9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left" vertical="center"/>
    </xf>
    <xf numFmtId="165" fontId="2" fillId="0" borderId="2" xfId="0" applyNumberFormat="1" applyFont="1" applyBorder="1" applyAlignment="1">
      <alignment horizontal="left" vertical="center"/>
    </xf>
    <xf numFmtId="2" fontId="1" fillId="9" borderId="1" xfId="0" applyNumberFormat="1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left" vertical="center"/>
    </xf>
    <xf numFmtId="2" fontId="2" fillId="0" borderId="2" xfId="0" applyNumberFormat="1" applyFont="1" applyBorder="1" applyAlignment="1">
      <alignment horizontal="left" vertical="center"/>
    </xf>
    <xf numFmtId="2" fontId="5" fillId="5" borderId="2" xfId="0" applyNumberFormat="1" applyFont="1" applyFill="1" applyBorder="1" applyAlignment="1">
      <alignment horizontal="left" vertical="center"/>
    </xf>
    <xf numFmtId="1" fontId="2" fillId="3" borderId="2" xfId="0" applyNumberFormat="1" applyFont="1" applyFill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49" fontId="2" fillId="8" borderId="2" xfId="0" applyNumberFormat="1" applyFont="1" applyFill="1" applyBorder="1" applyAlignment="1">
      <alignment horizontal="left" vertical="center"/>
    </xf>
    <xf numFmtId="165" fontId="2" fillId="8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0C2E"/>
      <rgbColor rgb="FF3B6D11"/>
      <rgbColor rgb="FF000080"/>
      <rgbColor rgb="FF854F0B"/>
      <rgbColor rgb="FF800080"/>
      <rgbColor rgb="FF0F6E56"/>
      <rgbColor rgb="FFCCCCCC"/>
      <rgbColor rgb="FF808080"/>
      <rgbColor rgb="FF9999FF"/>
      <rgbColor rgb="FF993366"/>
      <rgbColor rgb="FFFFF9C4"/>
      <rgbColor rgb="FFE3F2FD"/>
      <rgbColor rgb="FF660066"/>
      <rgbColor rgb="FFFF8080"/>
      <rgbColor rgb="FF185FA5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0E0E0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A32D2D"/>
      <rgbColor rgb="FF993366"/>
      <rgbColor rgb="FF3C3489"/>
      <rgbColor rgb="FF4444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zoomScaleNormal="100" workbookViewId="0">
      <pane ySplit="1" topLeftCell="A2" activePane="bottomLeft" state="frozen"/>
      <selection pane="bottomLeft" activeCell="K7" sqref="K7"/>
    </sheetView>
  </sheetViews>
  <sheetFormatPr defaultColWidth="8.6640625" defaultRowHeight="14.4" x14ac:dyDescent="0.3"/>
  <cols>
    <col min="1" max="1" width="10" customWidth="1"/>
    <col min="2" max="2" width="20" customWidth="1"/>
    <col min="3" max="3" width="28" customWidth="1"/>
    <col min="4" max="4" width="14" customWidth="1"/>
    <col min="5" max="5" width="16" customWidth="1"/>
    <col min="6" max="6" width="14" customWidth="1"/>
    <col min="7" max="7" width="10" customWidth="1"/>
    <col min="8" max="8" width="16" customWidth="1"/>
    <col min="9" max="9" width="22" customWidth="1"/>
  </cols>
  <sheetData>
    <row r="1" spans="1:9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spans="1:9" ht="15" customHeight="1" x14ac:dyDescent="0.3">
      <c r="A2" s="11" t="s">
        <v>9</v>
      </c>
      <c r="B2" s="11" t="s">
        <v>10</v>
      </c>
      <c r="C2" s="11" t="s">
        <v>11</v>
      </c>
      <c r="D2" s="11" t="s">
        <v>12</v>
      </c>
      <c r="E2" s="11" t="s">
        <v>13</v>
      </c>
      <c r="F2" s="17" t="s">
        <v>14</v>
      </c>
      <c r="G2" s="1" t="s">
        <v>15</v>
      </c>
      <c r="H2" s="13" t="s">
        <v>16</v>
      </c>
      <c r="I2" s="11" t="s">
        <v>17</v>
      </c>
    </row>
    <row r="3" spans="1:9" ht="15" customHeight="1" x14ac:dyDescent="0.3">
      <c r="A3" s="12" t="s">
        <v>18</v>
      </c>
      <c r="B3" s="12" t="s">
        <v>19</v>
      </c>
      <c r="C3" s="12" t="s">
        <v>20</v>
      </c>
      <c r="D3" s="12" t="s">
        <v>21</v>
      </c>
      <c r="E3" s="12" t="s">
        <v>22</v>
      </c>
      <c r="F3" s="18" t="s">
        <v>23</v>
      </c>
      <c r="G3" s="2" t="s">
        <v>15</v>
      </c>
      <c r="H3" s="14" t="s">
        <v>24</v>
      </c>
      <c r="I3" s="16" t="s">
        <v>349</v>
      </c>
    </row>
    <row r="4" spans="1:9" ht="15" customHeight="1" x14ac:dyDescent="0.3">
      <c r="A4" s="11" t="s">
        <v>26</v>
      </c>
      <c r="B4" s="11" t="s">
        <v>27</v>
      </c>
      <c r="C4" s="11" t="s">
        <v>28</v>
      </c>
      <c r="D4" s="16"/>
      <c r="E4" s="11" t="s">
        <v>13</v>
      </c>
      <c r="F4" s="17" t="s">
        <v>29</v>
      </c>
      <c r="G4" s="1" t="s">
        <v>15</v>
      </c>
      <c r="H4" s="14" t="s">
        <v>24</v>
      </c>
      <c r="I4" s="16" t="s">
        <v>30</v>
      </c>
    </row>
    <row r="5" spans="1:9" ht="15" customHeight="1" x14ac:dyDescent="0.3">
      <c r="A5" s="12" t="s">
        <v>31</v>
      </c>
      <c r="B5" s="12" t="s">
        <v>32</v>
      </c>
      <c r="C5" s="12" t="s">
        <v>33</v>
      </c>
      <c r="D5" s="12" t="s">
        <v>34</v>
      </c>
      <c r="E5" s="12" t="s">
        <v>35</v>
      </c>
      <c r="F5" s="18" t="s">
        <v>36</v>
      </c>
      <c r="G5" s="12" t="s">
        <v>15</v>
      </c>
      <c r="H5" s="13" t="s">
        <v>16</v>
      </c>
      <c r="I5" s="12" t="s">
        <v>17</v>
      </c>
    </row>
    <row r="6" spans="1:9" ht="15" customHeight="1" x14ac:dyDescent="0.3">
      <c r="A6" s="11" t="s">
        <v>37</v>
      </c>
      <c r="B6" s="11" t="s">
        <v>10</v>
      </c>
      <c r="C6" s="11" t="s">
        <v>11</v>
      </c>
      <c r="D6" s="11" t="s">
        <v>12</v>
      </c>
      <c r="E6" s="11" t="s">
        <v>13</v>
      </c>
      <c r="F6" s="17" t="s">
        <v>14</v>
      </c>
      <c r="G6" s="11" t="s">
        <v>15</v>
      </c>
      <c r="H6" s="15" t="s">
        <v>38</v>
      </c>
      <c r="I6" s="16" t="s">
        <v>39</v>
      </c>
    </row>
    <row r="7" spans="1:9" ht="15" customHeight="1" x14ac:dyDescent="0.3">
      <c r="A7" s="12" t="s">
        <v>40</v>
      </c>
      <c r="B7" s="12" t="s">
        <v>41</v>
      </c>
      <c r="C7" s="12" t="s">
        <v>42</v>
      </c>
      <c r="D7" s="12" t="s">
        <v>43</v>
      </c>
      <c r="E7" s="12" t="s">
        <v>44</v>
      </c>
      <c r="F7" s="18" t="s">
        <v>45</v>
      </c>
      <c r="G7" s="12" t="s">
        <v>15</v>
      </c>
      <c r="H7" s="14" t="s">
        <v>24</v>
      </c>
      <c r="I7" s="16" t="s">
        <v>46</v>
      </c>
    </row>
    <row r="8" spans="1:9" ht="15" customHeight="1" x14ac:dyDescent="0.3">
      <c r="A8" s="11" t="s">
        <v>47</v>
      </c>
      <c r="B8" s="16"/>
      <c r="C8" s="11" t="s">
        <v>48</v>
      </c>
      <c r="D8" s="11" t="s">
        <v>49</v>
      </c>
      <c r="E8" s="11" t="s">
        <v>13</v>
      </c>
      <c r="F8" s="17" t="s">
        <v>50</v>
      </c>
      <c r="G8" s="11" t="s">
        <v>15</v>
      </c>
      <c r="H8" s="14" t="s">
        <v>24</v>
      </c>
      <c r="I8" s="16" t="s">
        <v>51</v>
      </c>
    </row>
    <row r="9" spans="1:9" ht="15" customHeight="1" x14ac:dyDescent="0.3">
      <c r="A9" s="12" t="s">
        <v>52</v>
      </c>
      <c r="B9" s="12" t="s">
        <v>53</v>
      </c>
      <c r="C9" s="12" t="s">
        <v>54</v>
      </c>
      <c r="D9" s="12" t="s">
        <v>55</v>
      </c>
      <c r="E9" s="12" t="s">
        <v>22</v>
      </c>
      <c r="F9" s="18" t="s">
        <v>56</v>
      </c>
      <c r="G9" s="12" t="s">
        <v>57</v>
      </c>
      <c r="H9" s="13" t="s">
        <v>16</v>
      </c>
      <c r="I9" s="12" t="s">
        <v>17</v>
      </c>
    </row>
    <row r="10" spans="1:9" ht="15" customHeight="1" x14ac:dyDescent="0.3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13</v>
      </c>
      <c r="F10" s="17" t="s">
        <v>62</v>
      </c>
      <c r="G10" s="11" t="s">
        <v>15</v>
      </c>
      <c r="H10" s="13" t="s">
        <v>16</v>
      </c>
      <c r="I10" s="11" t="s">
        <v>17</v>
      </c>
    </row>
    <row r="11" spans="1:9" ht="15" customHeight="1" x14ac:dyDescent="0.3">
      <c r="A11" s="12" t="s">
        <v>63</v>
      </c>
      <c r="B11" s="12" t="s">
        <v>64</v>
      </c>
      <c r="C11" s="12" t="s">
        <v>65</v>
      </c>
      <c r="D11" s="12" t="s">
        <v>66</v>
      </c>
      <c r="E11" s="12" t="s">
        <v>35</v>
      </c>
      <c r="F11" s="18" t="s">
        <v>67</v>
      </c>
      <c r="G11" s="12" t="s">
        <v>15</v>
      </c>
      <c r="H11" s="14" t="s">
        <v>24</v>
      </c>
      <c r="I11" s="16" t="s">
        <v>25</v>
      </c>
    </row>
    <row r="12" spans="1:9" ht="15" customHeight="1" x14ac:dyDescent="0.3">
      <c r="A12" s="11" t="s">
        <v>68</v>
      </c>
      <c r="B12" s="11" t="s">
        <v>69</v>
      </c>
      <c r="C12" s="11" t="s">
        <v>70</v>
      </c>
      <c r="D12" s="11" t="s">
        <v>71</v>
      </c>
      <c r="E12" s="11" t="s">
        <v>13</v>
      </c>
      <c r="F12" s="17" t="s">
        <v>72</v>
      </c>
      <c r="G12" s="11" t="s">
        <v>15</v>
      </c>
      <c r="H12" s="13" t="s">
        <v>16</v>
      </c>
      <c r="I12" s="11" t="s">
        <v>17</v>
      </c>
    </row>
    <row r="13" spans="1:9" ht="15" customHeight="1" x14ac:dyDescent="0.3">
      <c r="A13" s="12" t="s">
        <v>73</v>
      </c>
      <c r="B13" s="12" t="s">
        <v>74</v>
      </c>
      <c r="C13" s="16"/>
      <c r="D13" s="12" t="s">
        <v>75</v>
      </c>
      <c r="E13" s="12" t="s">
        <v>22</v>
      </c>
      <c r="F13" s="18" t="s">
        <v>76</v>
      </c>
      <c r="G13" s="12" t="s">
        <v>15</v>
      </c>
      <c r="H13" s="14" t="s">
        <v>24</v>
      </c>
      <c r="I13" s="16" t="s">
        <v>77</v>
      </c>
    </row>
    <row r="14" spans="1:9" ht="15" customHeight="1" x14ac:dyDescent="0.3">
      <c r="A14" s="11" t="s">
        <v>78</v>
      </c>
      <c r="B14" s="11" t="s">
        <v>79</v>
      </c>
      <c r="C14" s="11" t="s">
        <v>80</v>
      </c>
      <c r="D14" s="11" t="s">
        <v>81</v>
      </c>
      <c r="E14" s="11" t="s">
        <v>82</v>
      </c>
      <c r="F14" s="17" t="s">
        <v>83</v>
      </c>
      <c r="G14" s="11" t="s">
        <v>15</v>
      </c>
      <c r="H14" s="13" t="s">
        <v>16</v>
      </c>
      <c r="I14" s="11" t="s">
        <v>17</v>
      </c>
    </row>
    <row r="15" spans="1:9" ht="15" customHeight="1" x14ac:dyDescent="0.3">
      <c r="A15" s="12" t="s">
        <v>84</v>
      </c>
      <c r="B15" s="12" t="s">
        <v>85</v>
      </c>
      <c r="C15" s="12" t="s">
        <v>86</v>
      </c>
      <c r="D15" s="12" t="s">
        <v>87</v>
      </c>
      <c r="E15" s="12" t="s">
        <v>88</v>
      </c>
      <c r="F15" s="18" t="s">
        <v>89</v>
      </c>
      <c r="G15" s="12" t="s">
        <v>15</v>
      </c>
      <c r="H15" s="14" t="s">
        <v>24</v>
      </c>
      <c r="I15" s="16" t="s">
        <v>46</v>
      </c>
    </row>
    <row r="16" spans="1:9" ht="15" customHeight="1" x14ac:dyDescent="0.3">
      <c r="A16" s="11" t="s">
        <v>90</v>
      </c>
      <c r="B16" s="11" t="s">
        <v>91</v>
      </c>
      <c r="C16" s="11" t="s">
        <v>92</v>
      </c>
      <c r="D16" s="11" t="s">
        <v>93</v>
      </c>
      <c r="E16" s="11" t="s">
        <v>13</v>
      </c>
      <c r="F16" s="17" t="s">
        <v>94</v>
      </c>
      <c r="G16" s="11" t="s">
        <v>15</v>
      </c>
      <c r="H16" s="13" t="s">
        <v>16</v>
      </c>
      <c r="I16" s="11" t="s">
        <v>17</v>
      </c>
    </row>
    <row r="17" spans="1:9" ht="15" customHeight="1" x14ac:dyDescent="0.3">
      <c r="A17" s="12" t="s">
        <v>95</v>
      </c>
      <c r="B17" s="12" t="s">
        <v>96</v>
      </c>
      <c r="C17" s="16"/>
      <c r="D17" s="16"/>
      <c r="E17" s="12" t="s">
        <v>35</v>
      </c>
      <c r="F17" s="18" t="s">
        <v>97</v>
      </c>
      <c r="G17" s="12" t="s">
        <v>15</v>
      </c>
      <c r="H17" s="14" t="s">
        <v>24</v>
      </c>
      <c r="I17" s="16" t="s">
        <v>98</v>
      </c>
    </row>
    <row r="18" spans="1:9" ht="15" customHeight="1" x14ac:dyDescent="0.3">
      <c r="A18" s="11" t="s">
        <v>99</v>
      </c>
      <c r="B18" s="11" t="s">
        <v>100</v>
      </c>
      <c r="C18" s="11" t="s">
        <v>101</v>
      </c>
      <c r="D18" s="11" t="s">
        <v>102</v>
      </c>
      <c r="E18" s="11" t="s">
        <v>22</v>
      </c>
      <c r="F18" s="17" t="s">
        <v>103</v>
      </c>
      <c r="G18" s="11" t="s">
        <v>15</v>
      </c>
      <c r="H18" s="13" t="s">
        <v>16</v>
      </c>
      <c r="I18" s="11" t="s">
        <v>17</v>
      </c>
    </row>
    <row r="19" spans="1:9" ht="15" customHeight="1" x14ac:dyDescent="0.3">
      <c r="A19" s="12" t="s">
        <v>104</v>
      </c>
      <c r="B19" s="12" t="s">
        <v>105</v>
      </c>
      <c r="C19" s="12" t="s">
        <v>106</v>
      </c>
      <c r="D19" s="12" t="s">
        <v>12</v>
      </c>
      <c r="E19" s="12" t="s">
        <v>13</v>
      </c>
      <c r="F19" s="18" t="s">
        <v>107</v>
      </c>
      <c r="G19" s="12" t="s">
        <v>15</v>
      </c>
      <c r="H19" s="15" t="s">
        <v>38</v>
      </c>
      <c r="I19" s="16" t="s">
        <v>108</v>
      </c>
    </row>
    <row r="20" spans="1:9" ht="15" customHeight="1" x14ac:dyDescent="0.3">
      <c r="A20" s="11" t="s">
        <v>109</v>
      </c>
      <c r="B20" s="11" t="s">
        <v>110</v>
      </c>
      <c r="C20" s="11" t="s">
        <v>111</v>
      </c>
      <c r="D20" s="11" t="s">
        <v>112</v>
      </c>
      <c r="E20" s="11" t="s">
        <v>13</v>
      </c>
      <c r="F20" s="17" t="s">
        <v>113</v>
      </c>
      <c r="G20" s="11" t="s">
        <v>15</v>
      </c>
      <c r="H20" s="13" t="s">
        <v>16</v>
      </c>
      <c r="I20" s="11" t="s">
        <v>17</v>
      </c>
    </row>
    <row r="21" spans="1:9" ht="15" customHeight="1" x14ac:dyDescent="0.3">
      <c r="A21" s="12" t="s">
        <v>114</v>
      </c>
      <c r="B21" s="12" t="s">
        <v>115</v>
      </c>
      <c r="C21" s="12" t="s">
        <v>116</v>
      </c>
      <c r="D21" s="12" t="s">
        <v>117</v>
      </c>
      <c r="E21" s="12" t="s">
        <v>44</v>
      </c>
      <c r="F21" s="18" t="s">
        <v>118</v>
      </c>
      <c r="G21" s="12" t="s">
        <v>57</v>
      </c>
      <c r="H21" s="13" t="s">
        <v>16</v>
      </c>
      <c r="I21" s="12" t="s">
        <v>17</v>
      </c>
    </row>
    <row r="22" spans="1:9" ht="15" customHeight="1" x14ac:dyDescent="0.3">
      <c r="A22" s="11" t="s">
        <v>119</v>
      </c>
      <c r="B22" s="11" t="s">
        <v>120</v>
      </c>
      <c r="C22" s="11" t="s">
        <v>121</v>
      </c>
      <c r="D22" s="11" t="s">
        <v>122</v>
      </c>
      <c r="E22" s="11" t="s">
        <v>13</v>
      </c>
      <c r="F22" s="17" t="s">
        <v>123</v>
      </c>
      <c r="G22" s="11" t="s">
        <v>15</v>
      </c>
      <c r="H22" s="14" t="s">
        <v>24</v>
      </c>
      <c r="I22" s="16" t="s">
        <v>25</v>
      </c>
    </row>
    <row r="23" spans="1:9" ht="15" customHeight="1" x14ac:dyDescent="0.3">
      <c r="A23" s="12" t="s">
        <v>124</v>
      </c>
      <c r="B23" s="12" t="s">
        <v>125</v>
      </c>
      <c r="C23" s="12" t="s">
        <v>126</v>
      </c>
      <c r="D23" s="12" t="s">
        <v>127</v>
      </c>
      <c r="E23" s="12" t="s">
        <v>22</v>
      </c>
      <c r="F23" s="18" t="s">
        <v>128</v>
      </c>
      <c r="G23" s="12" t="s">
        <v>15</v>
      </c>
      <c r="H23" s="13" t="s">
        <v>16</v>
      </c>
      <c r="I23" s="12" t="s">
        <v>17</v>
      </c>
    </row>
    <row r="24" spans="1:9" ht="15" customHeight="1" x14ac:dyDescent="0.3">
      <c r="A24" s="11" t="s">
        <v>129</v>
      </c>
      <c r="B24" s="11" t="s">
        <v>130</v>
      </c>
      <c r="C24" s="16"/>
      <c r="D24" s="16"/>
      <c r="E24" s="11" t="s">
        <v>13</v>
      </c>
      <c r="F24" s="17" t="s">
        <v>131</v>
      </c>
      <c r="G24" s="11" t="s">
        <v>15</v>
      </c>
      <c r="H24" s="14" t="s">
        <v>24</v>
      </c>
      <c r="I24" s="16" t="s">
        <v>98</v>
      </c>
    </row>
    <row r="25" spans="1:9" ht="15" customHeight="1" x14ac:dyDescent="0.3">
      <c r="A25" s="12" t="s">
        <v>132</v>
      </c>
      <c r="B25" s="12" t="s">
        <v>133</v>
      </c>
      <c r="C25" s="12" t="s">
        <v>134</v>
      </c>
      <c r="D25" s="12" t="s">
        <v>135</v>
      </c>
      <c r="E25" s="12" t="s">
        <v>35</v>
      </c>
      <c r="F25" s="18" t="s">
        <v>136</v>
      </c>
      <c r="G25" s="12" t="s">
        <v>15</v>
      </c>
      <c r="H25" s="13" t="s">
        <v>16</v>
      </c>
      <c r="I25" s="12" t="s">
        <v>17</v>
      </c>
    </row>
    <row r="26" spans="1:9" ht="15" customHeight="1" x14ac:dyDescent="0.3">
      <c r="A26" s="11" t="s">
        <v>137</v>
      </c>
      <c r="B26" s="11" t="s">
        <v>138</v>
      </c>
      <c r="C26" s="11" t="s">
        <v>139</v>
      </c>
      <c r="D26" s="11" t="s">
        <v>140</v>
      </c>
      <c r="E26" s="11" t="s">
        <v>13</v>
      </c>
      <c r="F26" s="17" t="s">
        <v>141</v>
      </c>
      <c r="G26" s="11" t="s">
        <v>15</v>
      </c>
      <c r="H26" s="13" t="s">
        <v>16</v>
      </c>
      <c r="I26" s="11" t="s">
        <v>17</v>
      </c>
    </row>
  </sheetData>
  <autoFilter ref="A1:I26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zoomScaleNormal="100" workbookViewId="0">
      <pane ySplit="1" topLeftCell="A2" activePane="bottomLeft" state="frozen"/>
      <selection pane="bottomLeft" activeCell="C22" sqref="C22"/>
    </sheetView>
  </sheetViews>
  <sheetFormatPr defaultColWidth="8.6640625" defaultRowHeight="14.4" x14ac:dyDescent="0.3"/>
  <cols>
    <col min="1" max="1" width="10" customWidth="1"/>
    <col min="2" max="2" width="24" customWidth="1"/>
    <col min="3" max="3" width="16" customWidth="1"/>
    <col min="4" max="4" width="20" customWidth="1"/>
    <col min="5" max="5" width="22" customWidth="1"/>
    <col min="6" max="6" width="14" customWidth="1"/>
    <col min="7" max="7" width="18" customWidth="1"/>
    <col min="8" max="8" width="16" customWidth="1"/>
    <col min="9" max="9" width="30" customWidth="1"/>
  </cols>
  <sheetData>
    <row r="1" spans="1:9" ht="30" customHeight="1" x14ac:dyDescent="0.3">
      <c r="A1" s="5" t="s">
        <v>142</v>
      </c>
      <c r="B1" s="5" t="s">
        <v>143</v>
      </c>
      <c r="C1" s="5" t="s">
        <v>144</v>
      </c>
      <c r="D1" s="5" t="s">
        <v>145</v>
      </c>
      <c r="E1" s="5" t="s">
        <v>146</v>
      </c>
      <c r="F1" s="5" t="s">
        <v>147</v>
      </c>
      <c r="G1" s="5" t="s">
        <v>148</v>
      </c>
      <c r="H1" s="5" t="s">
        <v>149</v>
      </c>
      <c r="I1" s="5" t="s">
        <v>8</v>
      </c>
    </row>
    <row r="2" spans="1:9" ht="15" customHeight="1" x14ac:dyDescent="0.3">
      <c r="A2" s="11" t="s">
        <v>150</v>
      </c>
      <c r="B2" s="11" t="s">
        <v>151</v>
      </c>
      <c r="C2" s="11" t="s">
        <v>152</v>
      </c>
      <c r="D2" s="11" t="s">
        <v>153</v>
      </c>
      <c r="E2" s="11" t="s">
        <v>154</v>
      </c>
      <c r="F2" s="11" t="s">
        <v>155</v>
      </c>
      <c r="G2" s="13" t="s">
        <v>156</v>
      </c>
      <c r="H2" s="13" t="s">
        <v>157</v>
      </c>
      <c r="I2" s="11" t="s">
        <v>17</v>
      </c>
    </row>
    <row r="3" spans="1:9" ht="15" customHeight="1" x14ac:dyDescent="0.3">
      <c r="A3" s="12" t="s">
        <v>158</v>
      </c>
      <c r="B3" s="12" t="s">
        <v>159</v>
      </c>
      <c r="C3" s="16"/>
      <c r="D3" s="12" t="s">
        <v>160</v>
      </c>
      <c r="E3" s="16"/>
      <c r="F3" s="16"/>
      <c r="G3" s="15" t="s">
        <v>161</v>
      </c>
      <c r="H3" s="15" t="s">
        <v>162</v>
      </c>
      <c r="I3" s="16" t="s">
        <v>163</v>
      </c>
    </row>
    <row r="4" spans="1:9" ht="15" customHeight="1" x14ac:dyDescent="0.3">
      <c r="A4" s="11" t="s">
        <v>164</v>
      </c>
      <c r="B4" s="11" t="s">
        <v>165</v>
      </c>
      <c r="C4" s="11" t="s">
        <v>152</v>
      </c>
      <c r="D4" s="11" t="s">
        <v>166</v>
      </c>
      <c r="E4" s="11" t="s">
        <v>167</v>
      </c>
      <c r="F4" s="11" t="s">
        <v>155</v>
      </c>
      <c r="G4" s="13" t="s">
        <v>156</v>
      </c>
      <c r="H4" s="13" t="s">
        <v>157</v>
      </c>
      <c r="I4" s="11" t="s">
        <v>17</v>
      </c>
    </row>
    <row r="5" spans="1:9" ht="15" customHeight="1" x14ac:dyDescent="0.3">
      <c r="A5" s="12" t="s">
        <v>168</v>
      </c>
      <c r="B5" s="12" t="s">
        <v>169</v>
      </c>
      <c r="C5" s="12" t="s">
        <v>160</v>
      </c>
      <c r="D5" s="12" t="s">
        <v>170</v>
      </c>
      <c r="E5" s="12" t="s">
        <v>171</v>
      </c>
      <c r="F5" s="12" t="s">
        <v>172</v>
      </c>
      <c r="G5" s="13" t="s">
        <v>156</v>
      </c>
      <c r="H5" s="13" t="s">
        <v>157</v>
      </c>
      <c r="I5" s="12" t="s">
        <v>17</v>
      </c>
    </row>
    <row r="6" spans="1:9" ht="15" customHeight="1" x14ac:dyDescent="0.3">
      <c r="A6" s="11" t="s">
        <v>173</v>
      </c>
      <c r="B6" s="11" t="s">
        <v>174</v>
      </c>
      <c r="C6" s="11" t="s">
        <v>152</v>
      </c>
      <c r="D6" s="16"/>
      <c r="E6" s="11" t="s">
        <v>175</v>
      </c>
      <c r="F6" s="11" t="s">
        <v>155</v>
      </c>
      <c r="G6" s="14" t="s">
        <v>176</v>
      </c>
      <c r="H6" s="15" t="s">
        <v>162</v>
      </c>
      <c r="I6" s="16" t="s">
        <v>177</v>
      </c>
    </row>
    <row r="7" spans="1:9" ht="15" customHeight="1" x14ac:dyDescent="0.3">
      <c r="A7" s="12" t="s">
        <v>178</v>
      </c>
      <c r="B7" s="12" t="s">
        <v>179</v>
      </c>
      <c r="C7" s="16"/>
      <c r="D7" s="16"/>
      <c r="E7" s="16"/>
      <c r="F7" s="16"/>
      <c r="G7" s="15" t="s">
        <v>161</v>
      </c>
      <c r="H7" s="15" t="s">
        <v>162</v>
      </c>
      <c r="I7" s="16" t="s">
        <v>180</v>
      </c>
    </row>
    <row r="8" spans="1:9" ht="15" customHeight="1" x14ac:dyDescent="0.3">
      <c r="A8" s="11" t="s">
        <v>181</v>
      </c>
      <c r="B8" s="11" t="s">
        <v>182</v>
      </c>
      <c r="C8" s="11" t="s">
        <v>152</v>
      </c>
      <c r="D8" s="11" t="s">
        <v>166</v>
      </c>
      <c r="E8" s="11" t="s">
        <v>154</v>
      </c>
      <c r="F8" s="11" t="s">
        <v>155</v>
      </c>
      <c r="G8" s="13" t="s">
        <v>156</v>
      </c>
      <c r="H8" s="13" t="s">
        <v>157</v>
      </c>
      <c r="I8" s="11" t="s">
        <v>17</v>
      </c>
    </row>
    <row r="9" spans="1:9" ht="15" customHeight="1" x14ac:dyDescent="0.3">
      <c r="A9" s="12" t="s">
        <v>183</v>
      </c>
      <c r="B9" s="12" t="s">
        <v>184</v>
      </c>
      <c r="C9" s="16"/>
      <c r="D9" s="12" t="s">
        <v>185</v>
      </c>
      <c r="E9" s="16"/>
      <c r="F9" s="16"/>
      <c r="G9" s="15" t="s">
        <v>161</v>
      </c>
      <c r="H9" s="15" t="s">
        <v>162</v>
      </c>
      <c r="I9" s="16" t="s">
        <v>163</v>
      </c>
    </row>
    <row r="10" spans="1:9" ht="15" customHeight="1" x14ac:dyDescent="0.3">
      <c r="A10" s="11" t="s">
        <v>186</v>
      </c>
      <c r="B10" s="11" t="s">
        <v>187</v>
      </c>
      <c r="C10" s="11" t="s">
        <v>152</v>
      </c>
      <c r="D10" s="11" t="s">
        <v>166</v>
      </c>
      <c r="E10" s="11" t="s">
        <v>167</v>
      </c>
      <c r="F10" s="11" t="s">
        <v>155</v>
      </c>
      <c r="G10" s="13" t="s">
        <v>156</v>
      </c>
      <c r="H10" s="13" t="s">
        <v>157</v>
      </c>
      <c r="I10" s="11" t="s">
        <v>17</v>
      </c>
    </row>
    <row r="11" spans="1:9" ht="15" customHeight="1" x14ac:dyDescent="0.3">
      <c r="A11" s="12" t="s">
        <v>188</v>
      </c>
      <c r="B11" s="12" t="s">
        <v>189</v>
      </c>
      <c r="C11" s="12" t="s">
        <v>190</v>
      </c>
      <c r="D11" s="12" t="s">
        <v>191</v>
      </c>
      <c r="E11" s="12" t="s">
        <v>192</v>
      </c>
      <c r="F11" s="12" t="s">
        <v>193</v>
      </c>
      <c r="G11" s="13" t="s">
        <v>156</v>
      </c>
      <c r="H11" s="13" t="s">
        <v>157</v>
      </c>
      <c r="I11" s="12" t="s">
        <v>17</v>
      </c>
    </row>
    <row r="12" spans="1:9" ht="15" customHeight="1" x14ac:dyDescent="0.3">
      <c r="A12" s="11" t="s">
        <v>194</v>
      </c>
      <c r="B12" s="11" t="s">
        <v>195</v>
      </c>
      <c r="C12" s="11" t="s">
        <v>152</v>
      </c>
      <c r="D12" s="16"/>
      <c r="E12" s="11" t="s">
        <v>175</v>
      </c>
      <c r="F12" s="11" t="s">
        <v>155</v>
      </c>
      <c r="G12" s="14" t="s">
        <v>176</v>
      </c>
      <c r="H12" s="15" t="s">
        <v>162</v>
      </c>
      <c r="I12" s="16" t="s">
        <v>177</v>
      </c>
    </row>
    <row r="13" spans="1:9" ht="15" customHeight="1" x14ac:dyDescent="0.3">
      <c r="A13" s="12" t="s">
        <v>196</v>
      </c>
      <c r="B13" s="12" t="s">
        <v>197</v>
      </c>
      <c r="C13" s="16"/>
      <c r="D13" s="16"/>
      <c r="E13" s="16"/>
      <c r="F13" s="16"/>
      <c r="G13" s="15" t="s">
        <v>161</v>
      </c>
      <c r="H13" s="15" t="s">
        <v>162</v>
      </c>
      <c r="I13" s="16" t="s">
        <v>163</v>
      </c>
    </row>
    <row r="14" spans="1:9" ht="15" customHeight="1" x14ac:dyDescent="0.3">
      <c r="A14" s="11" t="s">
        <v>198</v>
      </c>
      <c r="B14" s="11" t="s">
        <v>199</v>
      </c>
      <c r="C14" s="11" t="s">
        <v>152</v>
      </c>
      <c r="D14" s="11" t="s">
        <v>166</v>
      </c>
      <c r="E14" s="11" t="s">
        <v>154</v>
      </c>
      <c r="F14" s="11" t="s">
        <v>155</v>
      </c>
      <c r="G14" s="13" t="s">
        <v>156</v>
      </c>
      <c r="H14" s="13" t="s">
        <v>157</v>
      </c>
      <c r="I14" s="11" t="s">
        <v>17</v>
      </c>
    </row>
    <row r="15" spans="1:9" ht="15" customHeight="1" x14ac:dyDescent="0.3">
      <c r="A15" s="12" t="s">
        <v>200</v>
      </c>
      <c r="B15" s="12" t="s">
        <v>201</v>
      </c>
      <c r="C15" s="12" t="s">
        <v>202</v>
      </c>
      <c r="D15" s="12" t="s">
        <v>203</v>
      </c>
      <c r="E15" s="16"/>
      <c r="F15" s="16"/>
      <c r="G15" s="14" t="s">
        <v>176</v>
      </c>
      <c r="H15" s="15" t="s">
        <v>162</v>
      </c>
      <c r="I15" s="16" t="s">
        <v>204</v>
      </c>
    </row>
    <row r="16" spans="1:9" ht="15" customHeight="1" x14ac:dyDescent="0.3">
      <c r="A16" s="11" t="s">
        <v>205</v>
      </c>
      <c r="B16" s="11" t="s">
        <v>206</v>
      </c>
      <c r="C16" s="11" t="s">
        <v>160</v>
      </c>
      <c r="D16" s="11" t="s">
        <v>207</v>
      </c>
      <c r="E16" s="11" t="s">
        <v>171</v>
      </c>
      <c r="F16" s="11" t="s">
        <v>172</v>
      </c>
      <c r="G16" s="13" t="s">
        <v>156</v>
      </c>
      <c r="H16" s="13" t="s">
        <v>157</v>
      </c>
      <c r="I16" s="11" t="s">
        <v>17</v>
      </c>
    </row>
    <row r="17" spans="1:9" ht="15" customHeight="1" x14ac:dyDescent="0.3">
      <c r="A17" s="12" t="s">
        <v>208</v>
      </c>
      <c r="B17" s="12" t="s">
        <v>209</v>
      </c>
      <c r="C17" s="12" t="s">
        <v>152</v>
      </c>
      <c r="D17" s="12" t="s">
        <v>210</v>
      </c>
      <c r="E17" s="12" t="s">
        <v>175</v>
      </c>
      <c r="F17" s="12" t="s">
        <v>155</v>
      </c>
      <c r="G17" s="13" t="s">
        <v>156</v>
      </c>
      <c r="H17" s="13" t="s">
        <v>157</v>
      </c>
      <c r="I17" s="12" t="s">
        <v>17</v>
      </c>
    </row>
    <row r="18" spans="1:9" ht="15" customHeight="1" x14ac:dyDescent="0.3">
      <c r="A18" s="11" t="s">
        <v>211</v>
      </c>
      <c r="B18" s="11" t="s">
        <v>212</v>
      </c>
      <c r="C18" s="16"/>
      <c r="D18" s="11" t="s">
        <v>213</v>
      </c>
      <c r="E18" s="16"/>
      <c r="F18" s="16"/>
      <c r="G18" s="15" t="s">
        <v>161</v>
      </c>
      <c r="H18" s="15" t="s">
        <v>162</v>
      </c>
      <c r="I18" s="16" t="s">
        <v>163</v>
      </c>
    </row>
    <row r="19" spans="1:9" ht="15" customHeight="1" x14ac:dyDescent="0.3">
      <c r="A19" s="12" t="s">
        <v>214</v>
      </c>
      <c r="B19" s="12" t="s">
        <v>215</v>
      </c>
      <c r="C19" s="12" t="s">
        <v>152</v>
      </c>
      <c r="D19" s="12" t="s">
        <v>166</v>
      </c>
      <c r="E19" s="12" t="s">
        <v>167</v>
      </c>
      <c r="F19" s="12" t="s">
        <v>155</v>
      </c>
      <c r="G19" s="13" t="s">
        <v>156</v>
      </c>
      <c r="H19" s="13" t="s">
        <v>157</v>
      </c>
      <c r="I19" s="12" t="s">
        <v>17</v>
      </c>
    </row>
    <row r="20" spans="1:9" ht="15" customHeight="1" x14ac:dyDescent="0.3">
      <c r="A20" s="11" t="s">
        <v>216</v>
      </c>
      <c r="B20" s="11" t="s">
        <v>217</v>
      </c>
      <c r="C20" s="11" t="s">
        <v>152</v>
      </c>
      <c r="D20" s="16"/>
      <c r="E20" s="16"/>
      <c r="F20" s="16"/>
      <c r="G20" s="14" t="s">
        <v>176</v>
      </c>
      <c r="H20" s="15" t="s">
        <v>162</v>
      </c>
      <c r="I20" s="16" t="s">
        <v>218</v>
      </c>
    </row>
    <row r="21" spans="1:9" ht="15" customHeight="1" x14ac:dyDescent="0.3">
      <c r="A21" s="12" t="s">
        <v>219</v>
      </c>
      <c r="B21" s="12" t="s">
        <v>220</v>
      </c>
      <c r="C21" s="12" t="s">
        <v>221</v>
      </c>
      <c r="D21" s="16"/>
      <c r="E21" s="12" t="s">
        <v>192</v>
      </c>
      <c r="F21" s="12" t="s">
        <v>193</v>
      </c>
      <c r="G21" s="14" t="s">
        <v>176</v>
      </c>
      <c r="H21" s="15" t="s">
        <v>162</v>
      </c>
      <c r="I21" s="16" t="s">
        <v>177</v>
      </c>
    </row>
  </sheetData>
  <autoFilter ref="A1:I21" xr:uid="{00000000-0001-0000-0100-000000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22" customWidth="1"/>
    <col min="3" max="3" width="16" customWidth="1"/>
    <col min="4" max="4" width="20" customWidth="1"/>
    <col min="5" max="5" width="22" customWidth="1"/>
    <col min="6" max="6" width="30" customWidth="1"/>
    <col min="7" max="7" width="12" customWidth="1"/>
    <col min="8" max="8" width="10" customWidth="1"/>
    <col min="9" max="9" width="30" customWidth="1"/>
  </cols>
  <sheetData>
    <row r="1" spans="1:9" ht="30" customHeight="1" x14ac:dyDescent="0.3">
      <c r="A1" s="6" t="s">
        <v>222</v>
      </c>
      <c r="B1" s="6" t="s">
        <v>223</v>
      </c>
      <c r="C1" s="6" t="s">
        <v>224</v>
      </c>
      <c r="D1" s="6" t="s">
        <v>225</v>
      </c>
      <c r="E1" s="6" t="s">
        <v>226</v>
      </c>
      <c r="F1" s="6" t="s">
        <v>2</v>
      </c>
      <c r="G1" s="7" t="s">
        <v>5</v>
      </c>
      <c r="H1" s="6" t="s">
        <v>6</v>
      </c>
      <c r="I1" s="6" t="s">
        <v>8</v>
      </c>
    </row>
    <row r="2" spans="1:9" ht="15" customHeight="1" x14ac:dyDescent="0.3">
      <c r="A2" s="11" t="s">
        <v>227</v>
      </c>
      <c r="B2" s="11" t="s">
        <v>10</v>
      </c>
      <c r="C2" s="11" t="s">
        <v>228</v>
      </c>
      <c r="D2" s="11" t="s">
        <v>229</v>
      </c>
      <c r="E2" s="11" t="s">
        <v>230</v>
      </c>
      <c r="F2" s="11" t="s">
        <v>231</v>
      </c>
      <c r="G2" s="17" t="s">
        <v>232</v>
      </c>
      <c r="H2" s="13" t="s">
        <v>15</v>
      </c>
      <c r="I2" s="11" t="s">
        <v>17</v>
      </c>
    </row>
    <row r="3" spans="1:9" ht="15" customHeight="1" x14ac:dyDescent="0.3">
      <c r="A3" s="25" t="s">
        <v>233</v>
      </c>
      <c r="B3" s="11" t="s">
        <v>154</v>
      </c>
      <c r="C3" s="25" t="s">
        <v>155</v>
      </c>
      <c r="D3" s="25" t="s">
        <v>234</v>
      </c>
      <c r="E3" s="25" t="s">
        <v>175</v>
      </c>
      <c r="F3" s="25" t="s">
        <v>235</v>
      </c>
      <c r="G3" s="26" t="s">
        <v>236</v>
      </c>
      <c r="H3" s="13" t="s">
        <v>15</v>
      </c>
      <c r="I3" s="25" t="s">
        <v>17</v>
      </c>
    </row>
    <row r="4" spans="1:9" ht="15" customHeight="1" x14ac:dyDescent="0.3">
      <c r="A4" s="11" t="s">
        <v>237</v>
      </c>
      <c r="B4" s="11" t="s">
        <v>167</v>
      </c>
      <c r="C4" s="11" t="s">
        <v>155</v>
      </c>
      <c r="D4" s="11" t="s">
        <v>238</v>
      </c>
      <c r="E4" s="11" t="s">
        <v>175</v>
      </c>
      <c r="F4" s="11" t="s">
        <v>239</v>
      </c>
      <c r="G4" s="17" t="s">
        <v>240</v>
      </c>
      <c r="H4" s="13" t="s">
        <v>15</v>
      </c>
      <c r="I4" s="16" t="s">
        <v>25</v>
      </c>
    </row>
    <row r="5" spans="1:9" ht="15" customHeight="1" x14ac:dyDescent="0.3">
      <c r="A5" s="25" t="s">
        <v>241</v>
      </c>
      <c r="B5" s="25" t="s">
        <v>175</v>
      </c>
      <c r="C5" s="25" t="s">
        <v>155</v>
      </c>
      <c r="D5" s="25" t="s">
        <v>242</v>
      </c>
      <c r="E5" s="16"/>
      <c r="F5" s="25" t="s">
        <v>243</v>
      </c>
      <c r="G5" s="26" t="s">
        <v>244</v>
      </c>
      <c r="H5" s="13" t="s">
        <v>15</v>
      </c>
      <c r="I5" s="16" t="s">
        <v>245</v>
      </c>
    </row>
    <row r="6" spans="1:9" ht="15" customHeight="1" x14ac:dyDescent="0.3">
      <c r="A6" s="11" t="s">
        <v>246</v>
      </c>
      <c r="B6" s="11" t="s">
        <v>171</v>
      </c>
      <c r="C6" s="11" t="s">
        <v>172</v>
      </c>
      <c r="D6" s="11" t="s">
        <v>247</v>
      </c>
      <c r="E6" s="11" t="s">
        <v>248</v>
      </c>
      <c r="F6" s="11" t="s">
        <v>249</v>
      </c>
      <c r="G6" s="17" t="s">
        <v>250</v>
      </c>
      <c r="H6" s="13" t="s">
        <v>15</v>
      </c>
      <c r="I6" s="11" t="s">
        <v>17</v>
      </c>
    </row>
    <row r="7" spans="1:9" ht="15" customHeight="1" x14ac:dyDescent="0.3">
      <c r="A7" s="25" t="s">
        <v>251</v>
      </c>
      <c r="B7" s="25" t="s">
        <v>125</v>
      </c>
      <c r="C7" s="25" t="s">
        <v>228</v>
      </c>
      <c r="D7" s="25" t="s">
        <v>252</v>
      </c>
      <c r="E7" s="25" t="s">
        <v>10</v>
      </c>
      <c r="F7" s="25" t="s">
        <v>253</v>
      </c>
      <c r="G7" s="26" t="s">
        <v>254</v>
      </c>
      <c r="H7" s="13" t="s">
        <v>15</v>
      </c>
      <c r="I7" s="25" t="s">
        <v>17</v>
      </c>
    </row>
    <row r="8" spans="1:9" ht="15" customHeight="1" x14ac:dyDescent="0.3">
      <c r="A8" s="11" t="s">
        <v>255</v>
      </c>
      <c r="B8" s="11" t="s">
        <v>133</v>
      </c>
      <c r="C8" s="11" t="s">
        <v>228</v>
      </c>
      <c r="D8" s="11" t="s">
        <v>256</v>
      </c>
      <c r="E8" s="11" t="s">
        <v>10</v>
      </c>
      <c r="F8" s="11" t="s">
        <v>257</v>
      </c>
      <c r="G8" s="17" t="s">
        <v>258</v>
      </c>
      <c r="H8" s="13" t="s">
        <v>15</v>
      </c>
      <c r="I8" s="11" t="s">
        <v>17</v>
      </c>
    </row>
    <row r="9" spans="1:9" ht="15" customHeight="1" x14ac:dyDescent="0.3">
      <c r="A9" s="25" t="s">
        <v>259</v>
      </c>
      <c r="B9" s="25" t="s">
        <v>260</v>
      </c>
      <c r="C9" s="25" t="s">
        <v>261</v>
      </c>
      <c r="D9" s="25" t="s">
        <v>262</v>
      </c>
      <c r="E9" s="25" t="s">
        <v>230</v>
      </c>
      <c r="F9" s="25" t="s">
        <v>263</v>
      </c>
      <c r="G9" s="26" t="s">
        <v>264</v>
      </c>
      <c r="H9" s="13" t="s">
        <v>15</v>
      </c>
      <c r="I9" s="25" t="s">
        <v>17</v>
      </c>
    </row>
    <row r="10" spans="1:9" ht="15" customHeight="1" x14ac:dyDescent="0.3">
      <c r="A10" s="11" t="s">
        <v>265</v>
      </c>
      <c r="B10" s="11" t="s">
        <v>192</v>
      </c>
      <c r="C10" s="11" t="s">
        <v>193</v>
      </c>
      <c r="D10" s="11" t="s">
        <v>266</v>
      </c>
      <c r="E10" s="11" t="s">
        <v>248</v>
      </c>
      <c r="F10" s="11" t="s">
        <v>267</v>
      </c>
      <c r="G10" s="17" t="s">
        <v>268</v>
      </c>
      <c r="H10" s="13" t="s">
        <v>15</v>
      </c>
      <c r="I10" s="11" t="s">
        <v>17</v>
      </c>
    </row>
    <row r="11" spans="1:9" ht="15" customHeight="1" x14ac:dyDescent="0.3">
      <c r="A11" s="25" t="s">
        <v>269</v>
      </c>
      <c r="B11" s="25" t="s">
        <v>248</v>
      </c>
      <c r="C11" s="25" t="s">
        <v>172</v>
      </c>
      <c r="D11" s="25" t="s">
        <v>270</v>
      </c>
      <c r="E11" s="25" t="s">
        <v>230</v>
      </c>
      <c r="F11" s="25" t="s">
        <v>271</v>
      </c>
      <c r="G11" s="26" t="s">
        <v>272</v>
      </c>
      <c r="H11" s="13" t="s">
        <v>15</v>
      </c>
      <c r="I11" s="25" t="s">
        <v>17</v>
      </c>
    </row>
    <row r="12" spans="1:9" ht="15" customHeight="1" x14ac:dyDescent="0.3">
      <c r="A12" s="11" t="s">
        <v>273</v>
      </c>
      <c r="B12" s="11" t="s">
        <v>230</v>
      </c>
      <c r="C12" s="11" t="s">
        <v>274</v>
      </c>
      <c r="D12" s="11" t="s">
        <v>275</v>
      </c>
      <c r="E12" s="16"/>
      <c r="F12" s="11" t="s">
        <v>276</v>
      </c>
      <c r="G12" s="17" t="s">
        <v>277</v>
      </c>
      <c r="H12" s="13" t="s">
        <v>15</v>
      </c>
      <c r="I12" s="16" t="s">
        <v>245</v>
      </c>
    </row>
    <row r="13" spans="1:9" ht="15" customHeight="1" x14ac:dyDescent="0.3">
      <c r="A13" s="25" t="s">
        <v>278</v>
      </c>
      <c r="B13" s="25" t="s">
        <v>279</v>
      </c>
      <c r="C13" s="25" t="s">
        <v>274</v>
      </c>
      <c r="D13" s="25" t="s">
        <v>280</v>
      </c>
      <c r="E13" s="25" t="s">
        <v>230</v>
      </c>
      <c r="F13" s="25" t="s">
        <v>281</v>
      </c>
      <c r="G13" s="26" t="s">
        <v>282</v>
      </c>
      <c r="H13" s="13" t="s">
        <v>15</v>
      </c>
      <c r="I13" s="25" t="s">
        <v>17</v>
      </c>
    </row>
    <row r="14" spans="1:9" ht="15" customHeight="1" x14ac:dyDescent="0.3">
      <c r="A14" s="11" t="s">
        <v>283</v>
      </c>
      <c r="B14" s="11" t="s">
        <v>284</v>
      </c>
      <c r="C14" s="11" t="s">
        <v>155</v>
      </c>
      <c r="D14" s="11" t="s">
        <v>285</v>
      </c>
      <c r="E14" s="16"/>
      <c r="F14" s="11" t="s">
        <v>286</v>
      </c>
      <c r="G14" s="17" t="s">
        <v>236</v>
      </c>
      <c r="H14" s="13" t="s">
        <v>15</v>
      </c>
      <c r="I14" s="16" t="s">
        <v>245</v>
      </c>
    </row>
    <row r="15" spans="1:9" ht="15" customHeight="1" x14ac:dyDescent="0.3">
      <c r="A15" s="25" t="s">
        <v>287</v>
      </c>
      <c r="B15" s="25" t="s">
        <v>288</v>
      </c>
      <c r="C15" s="25" t="s">
        <v>155</v>
      </c>
      <c r="D15" s="25" t="s">
        <v>289</v>
      </c>
      <c r="E15" s="25" t="s">
        <v>175</v>
      </c>
      <c r="F15" s="25" t="s">
        <v>290</v>
      </c>
      <c r="G15" s="26" t="s">
        <v>291</v>
      </c>
      <c r="H15" s="13" t="s">
        <v>15</v>
      </c>
      <c r="I15" s="16" t="s">
        <v>25</v>
      </c>
    </row>
    <row r="16" spans="1:9" ht="15" customHeight="1" x14ac:dyDescent="0.3">
      <c r="A16" s="11" t="s">
        <v>292</v>
      </c>
      <c r="B16" s="11" t="s">
        <v>293</v>
      </c>
      <c r="C16" s="11" t="s">
        <v>155</v>
      </c>
      <c r="D16" s="11" t="s">
        <v>294</v>
      </c>
      <c r="E16" s="16"/>
      <c r="F16" s="11" t="s">
        <v>295</v>
      </c>
      <c r="G16" s="17" t="s">
        <v>296</v>
      </c>
      <c r="H16" s="13" t="s">
        <v>15</v>
      </c>
      <c r="I16" s="16" t="s">
        <v>245</v>
      </c>
    </row>
  </sheetData>
  <autoFilter ref="A1:I16" xr:uid="{00000000-0001-0000-0200-000000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tabSelected="1" zoomScaleNormal="100" workbookViewId="0">
      <pane ySplit="1" topLeftCell="A2" activePane="bottomLeft" state="frozen"/>
      <selection pane="bottomLeft" activeCell="K6" sqref="K6"/>
    </sheetView>
  </sheetViews>
  <sheetFormatPr defaultColWidth="8.6640625" defaultRowHeight="14.4" x14ac:dyDescent="0.3"/>
  <cols>
    <col min="1" max="3" width="12" customWidth="1"/>
    <col min="4" max="4" width="14" customWidth="1"/>
    <col min="5" max="5" width="10" customWidth="1"/>
    <col min="6" max="6" width="16" customWidth="1"/>
    <col min="7" max="7" width="14" customWidth="1"/>
    <col min="8" max="8" width="16" customWidth="1"/>
    <col min="9" max="9" width="22" customWidth="1"/>
    <col min="10" max="10" width="16" customWidth="1"/>
    <col min="11" max="11" width="22" customWidth="1"/>
  </cols>
  <sheetData>
    <row r="1" spans="1:11" ht="30" customHeight="1" x14ac:dyDescent="0.3">
      <c r="A1" s="8" t="s">
        <v>297</v>
      </c>
      <c r="B1" s="8" t="s">
        <v>0</v>
      </c>
      <c r="C1" s="8" t="s">
        <v>142</v>
      </c>
      <c r="D1" s="9" t="s">
        <v>298</v>
      </c>
      <c r="E1" s="10" t="s">
        <v>299</v>
      </c>
      <c r="F1" s="19" t="s">
        <v>300</v>
      </c>
      <c r="G1" s="19" t="s">
        <v>301</v>
      </c>
      <c r="H1" s="8" t="s">
        <v>4</v>
      </c>
      <c r="I1" s="8" t="s">
        <v>302</v>
      </c>
      <c r="J1" s="8" t="s">
        <v>7</v>
      </c>
      <c r="K1" s="8" t="s">
        <v>8</v>
      </c>
    </row>
    <row r="2" spans="1:11" ht="15" customHeight="1" x14ac:dyDescent="0.3">
      <c r="A2" s="11" t="s">
        <v>303</v>
      </c>
      <c r="B2" s="11" t="s">
        <v>9</v>
      </c>
      <c r="C2" s="11" t="s">
        <v>150</v>
      </c>
      <c r="D2" s="17" t="s">
        <v>304</v>
      </c>
      <c r="E2" s="23">
        <v>1</v>
      </c>
      <c r="F2" s="20">
        <v>4500</v>
      </c>
      <c r="G2" s="20">
        <f t="shared" ref="G2:G7" si="0">F2*E2</f>
        <v>4500</v>
      </c>
      <c r="H2" s="11" t="s">
        <v>13</v>
      </c>
      <c r="I2" s="11" t="s">
        <v>10</v>
      </c>
      <c r="J2" s="13" t="s">
        <v>16</v>
      </c>
      <c r="K2" s="11" t="s">
        <v>17</v>
      </c>
    </row>
    <row r="3" spans="1:11" ht="15" customHeight="1" x14ac:dyDescent="0.3">
      <c r="A3" s="12" t="s">
        <v>305</v>
      </c>
      <c r="B3" s="12" t="s">
        <v>31</v>
      </c>
      <c r="C3" s="12" t="s">
        <v>181</v>
      </c>
      <c r="D3" s="18" t="s">
        <v>306</v>
      </c>
      <c r="E3" s="24">
        <v>2</v>
      </c>
      <c r="F3" s="21">
        <v>85</v>
      </c>
      <c r="G3" s="21">
        <f t="shared" si="0"/>
        <v>170</v>
      </c>
      <c r="H3" s="12" t="s">
        <v>35</v>
      </c>
      <c r="I3" s="12" t="s">
        <v>154</v>
      </c>
      <c r="J3" s="13" t="s">
        <v>16</v>
      </c>
      <c r="K3" s="12" t="s">
        <v>17</v>
      </c>
    </row>
    <row r="4" spans="1:11" ht="15" customHeight="1" x14ac:dyDescent="0.3">
      <c r="A4" s="11" t="s">
        <v>307</v>
      </c>
      <c r="B4" s="11" t="s">
        <v>308</v>
      </c>
      <c r="C4" s="11" t="s">
        <v>164</v>
      </c>
      <c r="D4" s="17" t="s">
        <v>309</v>
      </c>
      <c r="E4" s="23">
        <v>1</v>
      </c>
      <c r="F4" s="20">
        <v>320</v>
      </c>
      <c r="G4" s="20">
        <f t="shared" si="0"/>
        <v>320</v>
      </c>
      <c r="H4" s="11" t="s">
        <v>13</v>
      </c>
      <c r="I4" s="11" t="s">
        <v>167</v>
      </c>
      <c r="J4" s="14" t="s">
        <v>24</v>
      </c>
      <c r="K4" s="16" t="s">
        <v>310</v>
      </c>
    </row>
    <row r="5" spans="1:11" ht="15" customHeight="1" x14ac:dyDescent="0.3">
      <c r="A5" s="12" t="s">
        <v>311</v>
      </c>
      <c r="B5" s="12" t="s">
        <v>58</v>
      </c>
      <c r="C5" s="12" t="s">
        <v>168</v>
      </c>
      <c r="D5" s="18" t="s">
        <v>312</v>
      </c>
      <c r="E5" s="24">
        <v>1</v>
      </c>
      <c r="F5" s="21">
        <v>1800</v>
      </c>
      <c r="G5" s="21">
        <f t="shared" si="0"/>
        <v>1800</v>
      </c>
      <c r="H5" s="12" t="s">
        <v>13</v>
      </c>
      <c r="I5" s="12" t="s">
        <v>171</v>
      </c>
      <c r="J5" s="13" t="s">
        <v>16</v>
      </c>
      <c r="K5" s="12" t="s">
        <v>17</v>
      </c>
    </row>
    <row r="6" spans="1:11" ht="15" customHeight="1" x14ac:dyDescent="0.3">
      <c r="A6" s="11" t="s">
        <v>313</v>
      </c>
      <c r="B6" s="11" t="s">
        <v>68</v>
      </c>
      <c r="C6" s="11" t="s">
        <v>314</v>
      </c>
      <c r="D6" s="17" t="s">
        <v>315</v>
      </c>
      <c r="E6" s="23">
        <v>3</v>
      </c>
      <c r="F6" s="20">
        <v>150</v>
      </c>
      <c r="G6" s="20">
        <f t="shared" si="0"/>
        <v>450</v>
      </c>
      <c r="H6" s="11" t="s">
        <v>13</v>
      </c>
      <c r="I6" s="11" t="s">
        <v>154</v>
      </c>
      <c r="J6" s="14" t="s">
        <v>24</v>
      </c>
      <c r="K6" s="16" t="s">
        <v>316</v>
      </c>
    </row>
    <row r="7" spans="1:11" ht="15" customHeight="1" x14ac:dyDescent="0.3">
      <c r="A7" s="12" t="s">
        <v>317</v>
      </c>
      <c r="B7" s="12" t="s">
        <v>90</v>
      </c>
      <c r="C7" s="12" t="s">
        <v>186</v>
      </c>
      <c r="D7" s="18" t="s">
        <v>318</v>
      </c>
      <c r="E7" s="24">
        <v>2</v>
      </c>
      <c r="F7" s="21">
        <v>220</v>
      </c>
      <c r="G7" s="21">
        <f t="shared" si="0"/>
        <v>440</v>
      </c>
      <c r="H7" s="12" t="s">
        <v>13</v>
      </c>
      <c r="I7" s="12" t="s">
        <v>167</v>
      </c>
      <c r="J7" s="13" t="s">
        <v>16</v>
      </c>
      <c r="K7" s="12" t="s">
        <v>17</v>
      </c>
    </row>
    <row r="8" spans="1:11" ht="15" customHeight="1" x14ac:dyDescent="0.3">
      <c r="A8" s="11" t="s">
        <v>319</v>
      </c>
      <c r="B8" s="11" t="s">
        <v>124</v>
      </c>
      <c r="C8" s="11" t="s">
        <v>198</v>
      </c>
      <c r="D8" s="17" t="s">
        <v>320</v>
      </c>
      <c r="E8" s="23">
        <v>1</v>
      </c>
      <c r="F8" s="20">
        <v>180</v>
      </c>
      <c r="G8" s="22"/>
      <c r="H8" s="11" t="s">
        <v>22</v>
      </c>
      <c r="I8" s="11" t="s">
        <v>125</v>
      </c>
      <c r="J8" s="14" t="s">
        <v>24</v>
      </c>
      <c r="K8" s="16" t="s">
        <v>321</v>
      </c>
    </row>
    <row r="9" spans="1:11" ht="15" customHeight="1" x14ac:dyDescent="0.3">
      <c r="A9" s="12" t="s">
        <v>322</v>
      </c>
      <c r="B9" s="12" t="s">
        <v>132</v>
      </c>
      <c r="C9" s="12" t="s">
        <v>188</v>
      </c>
      <c r="D9" s="18" t="s">
        <v>323</v>
      </c>
      <c r="E9" s="24">
        <v>4</v>
      </c>
      <c r="F9" s="21">
        <v>65</v>
      </c>
      <c r="G9" s="21">
        <f t="shared" ref="G9:G16" si="1">F9*E9</f>
        <v>260</v>
      </c>
      <c r="H9" s="12" t="s">
        <v>35</v>
      </c>
      <c r="I9" s="12" t="s">
        <v>133</v>
      </c>
      <c r="J9" s="13" t="s">
        <v>16</v>
      </c>
      <c r="K9" s="12" t="s">
        <v>17</v>
      </c>
    </row>
    <row r="10" spans="1:11" ht="15" customHeight="1" x14ac:dyDescent="0.3">
      <c r="A10" s="11" t="s">
        <v>324</v>
      </c>
      <c r="B10" s="11" t="s">
        <v>9</v>
      </c>
      <c r="C10" s="11" t="s">
        <v>150</v>
      </c>
      <c r="D10" s="17" t="s">
        <v>304</v>
      </c>
      <c r="E10" s="23">
        <v>1</v>
      </c>
      <c r="F10" s="20">
        <v>4500</v>
      </c>
      <c r="G10" s="20">
        <f t="shared" si="1"/>
        <v>4500</v>
      </c>
      <c r="H10" s="11" t="s">
        <v>13</v>
      </c>
      <c r="I10" s="11" t="s">
        <v>10</v>
      </c>
      <c r="J10" s="15" t="s">
        <v>38</v>
      </c>
      <c r="K10" s="16" t="s">
        <v>325</v>
      </c>
    </row>
    <row r="11" spans="1:11" ht="15" customHeight="1" x14ac:dyDescent="0.3">
      <c r="A11" s="12" t="s">
        <v>326</v>
      </c>
      <c r="B11" s="12" t="s">
        <v>109</v>
      </c>
      <c r="C11" s="12" t="s">
        <v>214</v>
      </c>
      <c r="D11" s="18" t="s">
        <v>327</v>
      </c>
      <c r="E11" s="24">
        <v>1</v>
      </c>
      <c r="F11" s="21">
        <v>350</v>
      </c>
      <c r="G11" s="21">
        <f t="shared" si="1"/>
        <v>350</v>
      </c>
      <c r="H11" s="12" t="s">
        <v>13</v>
      </c>
      <c r="I11" s="12" t="s">
        <v>167</v>
      </c>
      <c r="J11" s="13" t="s">
        <v>16</v>
      </c>
      <c r="K11" s="12" t="s">
        <v>17</v>
      </c>
    </row>
    <row r="12" spans="1:11" ht="15" customHeight="1" x14ac:dyDescent="0.3">
      <c r="A12" s="11" t="s">
        <v>328</v>
      </c>
      <c r="B12" s="11" t="s">
        <v>52</v>
      </c>
      <c r="C12" s="11" t="s">
        <v>208</v>
      </c>
      <c r="D12" s="17" t="s">
        <v>329</v>
      </c>
      <c r="E12" s="23">
        <v>2</v>
      </c>
      <c r="F12" s="20">
        <v>900</v>
      </c>
      <c r="G12" s="20">
        <f t="shared" si="1"/>
        <v>1800</v>
      </c>
      <c r="H12" s="11" t="s">
        <v>22</v>
      </c>
      <c r="I12" s="11" t="s">
        <v>175</v>
      </c>
      <c r="J12" s="13" t="s">
        <v>16</v>
      </c>
      <c r="K12" s="11" t="s">
        <v>17</v>
      </c>
    </row>
    <row r="13" spans="1:11" ht="15" customHeight="1" x14ac:dyDescent="0.3">
      <c r="A13" s="12" t="s">
        <v>330</v>
      </c>
      <c r="B13" s="12" t="s">
        <v>78</v>
      </c>
      <c r="C13" s="12" t="s">
        <v>205</v>
      </c>
      <c r="D13" s="18" t="s">
        <v>331</v>
      </c>
      <c r="E13" s="24">
        <v>3</v>
      </c>
      <c r="F13" s="21">
        <v>75</v>
      </c>
      <c r="G13" s="21">
        <f t="shared" si="1"/>
        <v>225</v>
      </c>
      <c r="H13" s="12" t="s">
        <v>82</v>
      </c>
      <c r="I13" s="12" t="s">
        <v>171</v>
      </c>
      <c r="J13" s="13" t="s">
        <v>16</v>
      </c>
      <c r="K13" s="12" t="s">
        <v>17</v>
      </c>
    </row>
    <row r="14" spans="1:11" ht="15" customHeight="1" x14ac:dyDescent="0.3">
      <c r="A14" s="11" t="s">
        <v>332</v>
      </c>
      <c r="B14" s="11" t="s">
        <v>99</v>
      </c>
      <c r="C14" s="11" t="s">
        <v>164</v>
      </c>
      <c r="D14" s="17" t="s">
        <v>333</v>
      </c>
      <c r="E14" s="23">
        <v>1</v>
      </c>
      <c r="F14" s="20">
        <v>320</v>
      </c>
      <c r="G14" s="20">
        <f t="shared" si="1"/>
        <v>320</v>
      </c>
      <c r="H14" s="11" t="s">
        <v>22</v>
      </c>
      <c r="I14" s="11" t="s">
        <v>167</v>
      </c>
      <c r="J14" s="13" t="s">
        <v>16</v>
      </c>
      <c r="K14" s="11" t="s">
        <v>17</v>
      </c>
    </row>
    <row r="15" spans="1:11" ht="15" customHeight="1" x14ac:dyDescent="0.3">
      <c r="A15" s="12" t="s">
        <v>334</v>
      </c>
      <c r="B15" s="12" t="s">
        <v>137</v>
      </c>
      <c r="C15" s="12" t="s">
        <v>181</v>
      </c>
      <c r="D15" s="18" t="s">
        <v>335</v>
      </c>
      <c r="E15" s="24">
        <v>2</v>
      </c>
      <c r="F15" s="21">
        <v>85</v>
      </c>
      <c r="G15" s="21">
        <f t="shared" si="1"/>
        <v>170</v>
      </c>
      <c r="H15" s="12" t="s">
        <v>13</v>
      </c>
      <c r="I15" s="12" t="s">
        <v>10</v>
      </c>
      <c r="J15" s="13" t="s">
        <v>16</v>
      </c>
      <c r="K15" s="12" t="s">
        <v>17</v>
      </c>
    </row>
    <row r="16" spans="1:11" ht="15" customHeight="1" x14ac:dyDescent="0.3">
      <c r="A16" s="11" t="s">
        <v>336</v>
      </c>
      <c r="B16" s="11" t="s">
        <v>114</v>
      </c>
      <c r="C16" s="11" t="s">
        <v>168</v>
      </c>
      <c r="D16" s="17" t="s">
        <v>337</v>
      </c>
      <c r="E16" s="23">
        <v>1</v>
      </c>
      <c r="F16" s="20">
        <v>1800</v>
      </c>
      <c r="G16" s="20">
        <f t="shared" si="1"/>
        <v>1800</v>
      </c>
      <c r="H16" s="11" t="s">
        <v>44</v>
      </c>
      <c r="I16" s="11" t="s">
        <v>171</v>
      </c>
      <c r="J16" s="13" t="s">
        <v>16</v>
      </c>
      <c r="K16" s="11" t="s">
        <v>17</v>
      </c>
    </row>
    <row r="17" spans="1:11" ht="15" customHeight="1" x14ac:dyDescent="0.3">
      <c r="A17" s="12" t="s">
        <v>338</v>
      </c>
      <c r="B17" s="12" t="s">
        <v>40</v>
      </c>
      <c r="C17" s="12" t="s">
        <v>186</v>
      </c>
      <c r="D17" s="18" t="s">
        <v>339</v>
      </c>
      <c r="E17" s="24">
        <v>1</v>
      </c>
      <c r="F17" s="21">
        <v>220</v>
      </c>
      <c r="G17" s="22"/>
      <c r="H17" s="12" t="s">
        <v>44</v>
      </c>
      <c r="I17" s="12" t="s">
        <v>154</v>
      </c>
      <c r="J17" s="14" t="s">
        <v>24</v>
      </c>
      <c r="K17" s="16" t="s">
        <v>321</v>
      </c>
    </row>
    <row r="18" spans="1:11" ht="15" customHeight="1" x14ac:dyDescent="0.3">
      <c r="A18" s="11" t="s">
        <v>340</v>
      </c>
      <c r="B18" s="11" t="s">
        <v>26</v>
      </c>
      <c r="C18" s="11" t="s">
        <v>198</v>
      </c>
      <c r="D18" s="17" t="s">
        <v>341</v>
      </c>
      <c r="E18" s="23">
        <v>2</v>
      </c>
      <c r="F18" s="20">
        <v>180</v>
      </c>
      <c r="G18" s="20">
        <f>F18*E18</f>
        <v>360</v>
      </c>
      <c r="H18" s="11" t="s">
        <v>13</v>
      </c>
      <c r="I18" s="11" t="s">
        <v>125</v>
      </c>
      <c r="J18" s="13" t="s">
        <v>16</v>
      </c>
      <c r="K18" s="11" t="s">
        <v>17</v>
      </c>
    </row>
    <row r="19" spans="1:11" ht="15" customHeight="1" x14ac:dyDescent="0.3">
      <c r="A19" s="12" t="s">
        <v>342</v>
      </c>
      <c r="B19" s="12" t="s">
        <v>343</v>
      </c>
      <c r="C19" s="12" t="s">
        <v>181</v>
      </c>
      <c r="D19" s="18" t="s">
        <v>344</v>
      </c>
      <c r="E19" s="24">
        <v>1</v>
      </c>
      <c r="F19" s="21">
        <v>85</v>
      </c>
      <c r="G19" s="21">
        <f>F19*E19</f>
        <v>85</v>
      </c>
      <c r="H19" s="12" t="s">
        <v>35</v>
      </c>
      <c r="I19" s="12" t="s">
        <v>133</v>
      </c>
      <c r="J19" s="14" t="s">
        <v>24</v>
      </c>
      <c r="K19" s="16" t="s">
        <v>310</v>
      </c>
    </row>
    <row r="20" spans="1:11" ht="15" customHeight="1" x14ac:dyDescent="0.3">
      <c r="A20" s="11" t="s">
        <v>345</v>
      </c>
      <c r="B20" s="11" t="s">
        <v>68</v>
      </c>
      <c r="C20" s="11" t="s">
        <v>150</v>
      </c>
      <c r="D20" s="17" t="s">
        <v>346</v>
      </c>
      <c r="E20" s="23">
        <v>1</v>
      </c>
      <c r="F20" s="20">
        <v>4500</v>
      </c>
      <c r="G20" s="20">
        <f>F20*E20</f>
        <v>4500</v>
      </c>
      <c r="H20" s="11" t="s">
        <v>13</v>
      </c>
      <c r="I20" s="11" t="s">
        <v>10</v>
      </c>
      <c r="J20" s="13" t="s">
        <v>16</v>
      </c>
      <c r="K20" s="11" t="s">
        <v>17</v>
      </c>
    </row>
    <row r="21" spans="1:11" ht="15" customHeight="1" x14ac:dyDescent="0.3">
      <c r="A21" s="12" t="s">
        <v>347</v>
      </c>
      <c r="B21" s="12" t="s">
        <v>132</v>
      </c>
      <c r="C21" s="12" t="s">
        <v>188</v>
      </c>
      <c r="D21" s="18" t="s">
        <v>348</v>
      </c>
      <c r="E21" s="24">
        <v>5</v>
      </c>
      <c r="F21" s="21">
        <v>65</v>
      </c>
      <c r="G21" s="21">
        <f>F21*E21</f>
        <v>325</v>
      </c>
      <c r="H21" s="12" t="s">
        <v>35</v>
      </c>
      <c r="I21" s="12" t="s">
        <v>133</v>
      </c>
      <c r="J21" s="13" t="s">
        <v>16</v>
      </c>
      <c r="K21" s="12" t="s">
        <v>17</v>
      </c>
    </row>
  </sheetData>
  <autoFilter ref="A1:K21" xr:uid="{00000000-0001-0000-03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Customer_Data</vt:lpstr>
      <vt:lpstr>Product_Data</vt:lpstr>
      <vt:lpstr>Employee_Data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Kshema N Poojary</cp:lastModifiedBy>
  <cp:revision>0</cp:revision>
  <dcterms:created xsi:type="dcterms:W3CDTF">2026-05-21T10:38:58Z</dcterms:created>
  <dcterms:modified xsi:type="dcterms:W3CDTF">2026-05-29T10:57:30Z</dcterms:modified>
  <dc:language>en-US</dc:language>
</cp:coreProperties>
</file>